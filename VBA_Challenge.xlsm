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ootcamp\AllHomework\stocks-analysis\"/>
    </mc:Choice>
  </mc:AlternateContent>
  <xr:revisionPtr revIDLastSave="0" documentId="13_ncr:1_{3820ACD5-DEAD-49C8-A657-97C9D6DDD96A}" xr6:coauthVersionLast="47" xr6:coauthVersionMax="47" xr10:uidLastSave="{00000000-0000-0000-0000-000000000000}"/>
  <bookViews>
    <workbookView xWindow="38280" yWindow="-3525" windowWidth="29040" windowHeight="157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nalysis" sheetId="5" r:id="rId5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3" i="5" l="1"/>
  <c r="B33" i="5"/>
  <c r="B23" i="5"/>
  <c r="C23" i="5"/>
  <c r="D23" i="5"/>
  <c r="D33" i="5"/>
  <c r="D22" i="5"/>
  <c r="D21" i="5"/>
  <c r="D20" i="5"/>
  <c r="D19" i="5"/>
  <c r="D18" i="5"/>
  <c r="D29" i="5"/>
  <c r="D30" i="5"/>
  <c r="D31" i="5"/>
  <c r="D32" i="5"/>
  <c r="D28" i="5"/>
  <c r="H3" i="5"/>
  <c r="H2" i="5"/>
  <c r="L31" i="2"/>
</calcChain>
</file>

<file path=xl/sharedStrings.xml><?xml version="1.0" encoding="utf-8"?>
<sst xmlns="http://schemas.openxmlformats.org/spreadsheetml/2006/main" count="12116" uniqueCount="538">
  <si>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</si>
  <si>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</si>
  <si>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</si>
  <si>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</si>
  <si>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</si>
  <si>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</si>
  <si>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</si>
  <si>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</si>
  <si>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</si>
  <si>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</si>
  <si>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</si>
  <si>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</si>
  <si>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</si>
  <si>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</si>
  <si>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</si>
  <si>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</si>
  <si>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</si>
  <si>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</si>
  <si>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</si>
  <si>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</si>
  <si>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</si>
  <si>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</si>
  <si>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</si>
  <si>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</si>
  <si>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</si>
  <si>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</si>
  <si>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</si>
  <si>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</si>
  <si>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</si>
  <si>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</si>
  <si>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</si>
  <si>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</si>
  <si>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</si>
  <si>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</si>
  <si>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</si>
  <si>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</si>
  <si>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</si>
  <si>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</si>
  <si>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</si>
  <si>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</si>
  <si>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</si>
  <si>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</si>
  <si>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</si>
  <si>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</si>
  <si>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</si>
  <si>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</si>
  <si>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</si>
  <si>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</si>
  <si>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</si>
  <si>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</si>
  <si>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</si>
  <si>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</si>
  <si>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</si>
  <si>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</si>
  <si>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</si>
  <si>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</si>
  <si>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</si>
  <si>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</si>
  <si>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</si>
  <si>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</si>
  <si>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</si>
  <si>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</si>
  <si>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</si>
  <si>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</si>
  <si>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</si>
  <si>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</si>
  <si>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</si>
  <si>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</si>
  <si>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</si>
  <si>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</si>
  <si>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</si>
  <si>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</si>
  <si>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</si>
  <si>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</si>
  <si>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</si>
  <si>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</si>
  <si>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</si>
  <si>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</si>
  <si>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</si>
  <si>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</si>
  <si>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</si>
  <si>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</si>
  <si>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</si>
  <si>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</si>
  <si>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</si>
  <si>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</si>
  <si>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</si>
  <si>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</si>
  <si>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</si>
  <si>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</si>
  <si>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</si>
  <si>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</si>
  <si>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</si>
  <si>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</si>
  <si>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</si>
  <si>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</si>
  <si>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</si>
  <si>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</si>
  <si>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</si>
  <si>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</si>
  <si>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</si>
  <si>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</si>
  <si>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</si>
  <si>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</si>
  <si>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</si>
  <si>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</si>
  <si>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</si>
  <si>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</si>
  <si>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</si>
  <si>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</si>
  <si>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</si>
  <si>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</si>
  <si>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</si>
  <si>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</si>
  <si>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</si>
  <si>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</si>
  <si>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</si>
  <si>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</si>
  <si>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</si>
  <si>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</si>
  <si>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</si>
  <si>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</si>
  <si>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</si>
  <si>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</si>
  <si>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</si>
  <si>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</si>
  <si>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</si>
  <si>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</si>
  <si>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</si>
  <si>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</si>
  <si>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</si>
  <si>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</si>
  <si>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</si>
  <si>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</si>
  <si>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</si>
  <si>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</si>
  <si>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</si>
  <si>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</si>
  <si>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</si>
  <si>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</si>
  <si>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</si>
  <si>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</si>
  <si>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</si>
  <si>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</si>
  <si>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</si>
  <si>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</si>
  <si>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</si>
  <si>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</si>
  <si>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</si>
  <si>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</si>
  <si>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</si>
  <si>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</si>
  <si>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</si>
  <si>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</si>
  <si>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</si>
  <si>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</si>
  <si>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</si>
  <si>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</si>
  <si>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</si>
  <si>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</si>
  <si>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</si>
  <si>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</si>
  <si>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</si>
  <si>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</si>
  <si>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</si>
  <si>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</si>
  <si>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</si>
  <si>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</si>
  <si>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</si>
  <si>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</si>
  <si>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</si>
  <si>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</si>
  <si>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</si>
  <si>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</si>
  <si>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</si>
  <si>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</si>
  <si>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</si>
  <si>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</si>
  <si>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</si>
  <si>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</si>
  <si>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</si>
  <si>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</si>
  <si>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</si>
  <si>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</si>
  <si>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</si>
  <si>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</si>
  <si>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</si>
  <si>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</si>
  <si>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</si>
  <si>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</si>
  <si>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</si>
  <si>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</si>
  <si>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</si>
  <si>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</si>
  <si>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</si>
  <si>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</si>
  <si>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</si>
  <si>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</si>
  <si>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</si>
  <si>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</si>
  <si>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</si>
  <si>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</si>
  <si>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</si>
  <si>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</si>
  <si>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</si>
  <si>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</si>
  <si>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</si>
  <si>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</si>
  <si>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</si>
  <si>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</si>
  <si>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</si>
  <si>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</si>
  <si>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</si>
  <si>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</si>
  <si>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</si>
  <si>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</si>
  <si>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</si>
  <si>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</si>
  <si>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</si>
  <si>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</si>
  <si>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</si>
  <si>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</si>
  <si>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</si>
  <si>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</si>
  <si>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</si>
  <si>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</si>
  <si>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</si>
  <si>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</si>
  <si>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</si>
  <si>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</si>
  <si>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</si>
  <si>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</si>
  <si>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</si>
  <si>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</si>
  <si>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</si>
  <si>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</si>
  <si>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</si>
  <si>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</si>
  <si>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</si>
  <si>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</si>
  <si>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</si>
  <si>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</si>
  <si>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</si>
  <si>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</si>
  <si>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</si>
  <si>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</si>
  <si>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</si>
  <si>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</si>
  <si>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</si>
  <si>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</si>
  <si>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</si>
  <si>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</si>
  <si>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</si>
  <si>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</si>
  <si>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</si>
  <si>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</si>
  <si>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</si>
  <si>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</si>
  <si>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</si>
  <si>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</si>
  <si>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</si>
  <si>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</si>
  <si>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</si>
  <si>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</si>
  <si>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</si>
  <si>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</si>
  <si>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</si>
  <si>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</si>
  <si>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</si>
  <si>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</si>
  <si>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</si>
  <si>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</si>
  <si>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</si>
  <si>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</si>
  <si>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</si>
  <si>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</si>
  <si>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</si>
  <si>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</si>
  <si>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</si>
  <si>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</si>
  <si>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</si>
  <si>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</si>
  <si>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</si>
  <si>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</si>
  <si>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</si>
  <si>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</si>
  <si>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</si>
  <si>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</si>
  <si>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</si>
  <si>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</si>
  <si>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</si>
  <si>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</si>
  <si>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</si>
  <si>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</si>
  <si>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</si>
  <si>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</si>
  <si>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</si>
  <si>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</si>
  <si>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</si>
  <si>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</si>
  <si>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</si>
  <si>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</si>
  <si>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</si>
  <si>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</si>
  <si>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</si>
  <si>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</si>
  <si>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</si>
  <si>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</si>
  <si>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</si>
  <si>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</si>
  <si>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</si>
  <si>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</si>
  <si>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</si>
  <si>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</si>
  <si>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</si>
  <si>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</si>
  <si>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</si>
  <si>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</si>
  <si>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</si>
  <si>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</si>
  <si>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</si>
  <si>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</si>
  <si>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</si>
  <si>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</si>
  <si>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</si>
  <si>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</si>
  <si>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</si>
  <si>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</si>
  <si>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</si>
  <si>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</si>
  <si>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</si>
  <si>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</si>
  <si>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</si>
  <si>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</si>
  <si>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</si>
  <si>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</si>
  <si>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</si>
  <si>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</si>
  <si>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</si>
  <si>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</si>
  <si>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</si>
  <si>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</si>
  <si>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</si>
  <si>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</si>
  <si>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</si>
  <si>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</si>
  <si>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</si>
  <si>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</si>
  <si>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</si>
  <si>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</si>
  <si>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</si>
  <si>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</si>
  <si>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</si>
  <si>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</si>
  <si>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</si>
  <si>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</si>
  <si>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</si>
  <si>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</si>
  <si>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</si>
  <si>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</si>
  <si>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</si>
  <si>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</si>
  <si>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</si>
  <si>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</si>
  <si>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</si>
  <si>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</si>
  <si>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</si>
  <si>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</si>
  <si>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</si>
  <si>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</si>
  <si>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</si>
  <si>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</si>
  <si>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</si>
  <si>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</si>
  <si>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</si>
  <si>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</si>
  <si>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</si>
  <si>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</si>
  <si>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</si>
  <si>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</si>
  <si>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</si>
  <si>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</si>
  <si>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</si>
  <si>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</si>
  <si>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</si>
  <si>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</si>
  <si>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</si>
  <si>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</si>
  <si>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</si>
  <si>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</si>
  <si>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</si>
  <si>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</si>
  <si>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</si>
  <si>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</si>
  <si>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</si>
  <si>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</si>
  <si>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</si>
  <si>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</si>
  <si>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</si>
  <si>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</si>
  <si>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</si>
  <si>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</si>
  <si>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</si>
  <si>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</si>
  <si>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</si>
  <si>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</si>
  <si>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</si>
  <si>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</si>
  <si>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</si>
  <si>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</si>
  <si>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</si>
  <si>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</si>
  <si>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</si>
  <si>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</si>
  <si>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</si>
  <si>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</si>
  <si>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</si>
  <si>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</si>
  <si>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</si>
  <si>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</si>
  <si>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</si>
  <si>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</si>
  <si>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</si>
  <si>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</si>
  <si>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</si>
  <si>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</si>
  <si>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</si>
  <si>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</si>
  <si>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</si>
  <si>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</si>
  <si>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</si>
  <si>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</si>
  <si>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</si>
  <si>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</si>
  <si>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</si>
  <si>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</si>
  <si>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</si>
  <si>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</si>
  <si>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</si>
  <si>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</si>
  <si>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</si>
  <si>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</si>
  <si>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</si>
  <si>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</si>
  <si>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</si>
  <si>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</si>
  <si>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</si>
  <si>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</si>
  <si>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</si>
  <si>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</si>
  <si>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</si>
  <si>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</si>
  <si>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</si>
  <si>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</si>
  <si>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</si>
  <si>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</si>
  <si>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</si>
  <si>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</si>
  <si>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</si>
  <si>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</si>
  <si>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</si>
  <si>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</si>
  <si>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</si>
  <si>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</si>
  <si>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</si>
  <si>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</si>
  <si>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</si>
  <si>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</si>
  <si>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</si>
  <si>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</si>
  <si>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</si>
  <si>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</si>
  <si>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</si>
  <si>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</si>
  <si>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</si>
  <si>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</si>
  <si>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</si>
  <si>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</si>
  <si>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</si>
  <si>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</si>
  <si>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</si>
  <si>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</si>
  <si>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</si>
  <si>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</si>
  <si>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</si>
  <si>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</si>
  <si>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</si>
  <si>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</si>
  <si>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</si>
  <si>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</si>
  <si>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</si>
  <si>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</si>
  <si>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</si>
  <si>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</si>
  <si>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</si>
  <si>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</si>
  <si>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</si>
  <si>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</si>
  <si>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</si>
  <si>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</si>
  <si>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</si>
  <si>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</si>
  <si>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</si>
  <si>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</si>
  <si>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</si>
  <si>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</si>
  <si>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</si>
  <si>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</si>
  <si>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</si>
  <si>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</si>
  <si>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</si>
  <si>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</si>
  <si>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</si>
  <si>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</si>
  <si>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</si>
  <si>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</si>
  <si>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</si>
  <si>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</si>
  <si>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</si>
  <si>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</si>
  <si>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</si>
  <si>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</si>
  <si>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</si>
  <si>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</si>
  <si>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</si>
  <si>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All Stocks (2018)</t>
  </si>
  <si>
    <t>f</t>
  </si>
  <si>
    <t>Original</t>
  </si>
  <si>
    <t>Run 1</t>
  </si>
  <si>
    <t>Run 2</t>
  </si>
  <si>
    <t>Run 3</t>
  </si>
  <si>
    <t>Run 4</t>
  </si>
  <si>
    <t>Run 5</t>
  </si>
  <si>
    <t>increase</t>
  </si>
  <si>
    <t>Refactored</t>
  </si>
  <si>
    <t>Run2</t>
  </si>
  <si>
    <t>% Change</t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</si>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</sst>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0"/>
    <numFmt numFmtId="172" formatCode="0.0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7"/>
      </patternFill>
    </fill>
    <fill>
      <patternFill patternType="solid">
        <fgColor theme="8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3" fillId="4" borderId="0" applyNumberFormat="0" applyBorder="0" applyAlignment="0" applyProtection="0"/>
    <xf numFmtId="0" fontId="4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</cellStyleXfs>
  <cellXfs count="1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3" fillId="4" borderId="0" xfId="1"/>
    <xf numFmtId="0" fontId="0" fillId="0" borderId="0" xfId="0" applyAlignment="1">
      <alignment horizontal="center"/>
    </xf>
    <xf numFmtId="0" fontId="3" fillId="4" borderId="0" xfId="1" applyAlignment="1">
      <alignment horizontal="center"/>
    </xf>
    <xf numFmtId="0" fontId="4" fillId="5" borderId="0" xfId="2"/>
    <xf numFmtId="0" fontId="4" fillId="5" borderId="0" xfId="2" applyAlignment="1">
      <alignment horizontal="center"/>
    </xf>
    <xf numFmtId="165" fontId="0" fillId="0" borderId="0" xfId="0" applyNumberFormat="1"/>
    <xf numFmtId="2" fontId="0" fillId="0" borderId="0" xfId="0" applyNumberFormat="1"/>
    <xf numFmtId="0" fontId="5" fillId="6" borderId="0" xfId="3" applyAlignment="1">
      <alignment horizontal="center"/>
    </xf>
    <xf numFmtId="0" fontId="5" fillId="7" borderId="0" xfId="4" applyAlignment="1">
      <alignment horizontal="center"/>
    </xf>
    <xf numFmtId="172" fontId="0" fillId="0" borderId="0" xfId="0" applyNumberFormat="1"/>
  </cellXfs>
  <cellStyles count="5">
    <cellStyle name="Accent4" xfId="3" builtinId="41"/>
    <cellStyle name="Accent5" xfId="4" builtinId="45"/>
    <cellStyle name="Good" xfId="1" builtinId="26"/>
    <cellStyle name="Neutral" xfId="2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6</xdr:row>
          <xdr:rowOff>146050</xdr:rowOff>
        </xdr:from>
        <xdr:to>
          <xdr:col>6</xdr:col>
          <xdr:colOff>184150</xdr:colOff>
          <xdr:row>8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4</xdr:row>
          <xdr:rowOff>107950</xdr:rowOff>
        </xdr:from>
        <xdr:to>
          <xdr:col>6</xdr:col>
          <xdr:colOff>374650</xdr:colOff>
          <xdr:row>5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9</xdr:row>
          <xdr:rowOff>88900</xdr:rowOff>
        </xdr:from>
        <xdr:to>
          <xdr:col>6</xdr:col>
          <xdr:colOff>260350</xdr:colOff>
          <xdr:row>10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13</xdr:row>
          <xdr:rowOff>146050</xdr:rowOff>
        </xdr:from>
        <xdr:to>
          <xdr:col>5</xdr:col>
          <xdr:colOff>596900</xdr:colOff>
          <xdr:row>15</xdr:row>
          <xdr:rowOff>25400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171450</xdr:rowOff>
        </xdr:from>
        <xdr:to>
          <xdr:col>8</xdr:col>
          <xdr:colOff>6350</xdr:colOff>
          <xdr:row>11</xdr:row>
          <xdr:rowOff>6350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146050</xdr:rowOff>
        </xdr:from>
        <xdr:to>
          <xdr:col>6</xdr:col>
          <xdr:colOff>0</xdr:colOff>
          <xdr:row>13</xdr:row>
          <xdr:rowOff>19050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6</xdr:row>
          <xdr:rowOff>6350</xdr:rowOff>
        </xdr:from>
        <xdr:to>
          <xdr:col>8</xdr:col>
          <xdr:colOff>0</xdr:colOff>
          <xdr:row>8</xdr:row>
          <xdr:rowOff>25400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Analysis Refactored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013"/>
  <sheetViews>
    <sheetView topLeftCell="A232" workbookViewId="0">
      <selection activeCell="G252" sqref="G252"/>
    </sheetView>
  </sheetViews>
  <sheetFormatPr defaultColWidth="8.81640625" defaultRowHeight="14.5" x14ac:dyDescent="0.35"/>
  <cols>
    <col min="2" max="2" width="8.81640625" customWidth="1"/>
    <col min="5" max="5" width="8.81640625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12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12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12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12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12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12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12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12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12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12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12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12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12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12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12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L31">
        <f>SUM(H2:H251)</f>
        <v>82869200</v>
      </c>
    </row>
    <row r="32" spans="1:12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7C45E-E1F1-4E9B-84E1-7CE97FB67B8B}">
  <sheetPr codeName="Sheet3"/>
  <dimension ref="A1:C40"/>
  <sheetViews>
    <sheetView topLeftCell="A2" workbookViewId="0">
      <selection activeCell="G25" sqref="G25"/>
    </sheetView>
  </sheetViews>
  <sheetFormatPr defaultRowHeight="14.5" x14ac:dyDescent="0.35"/>
  <cols>
    <col min="1" max="1" width="15.90625" bestFit="1" customWidth="1"/>
    <col min="2" max="2" width="17.1796875" bestFit="1" customWidth="1"/>
    <col min="3" max="3" width="6.453125" bestFit="1" customWidth="1"/>
  </cols>
  <sheetData>
    <row r="1" spans="1:3" x14ac:dyDescent="0.35">
      <c r="A1" t="s">
        <v>525</v>
      </c>
    </row>
    <row r="3" spans="1:3" x14ac:dyDescent="0.35">
      <c r="A3" t="s">
        <v>522</v>
      </c>
      <c r="B3" t="s">
        <v>523</v>
      </c>
      <c r="C3" t="s">
        <v>524</v>
      </c>
    </row>
    <row r="4" spans="1:3" x14ac:dyDescent="0.35">
      <c r="A4">
        <v>2018</v>
      </c>
      <c r="B4">
        <v>107873900</v>
      </c>
      <c r="C4">
        <v>-0.62601885887805664</v>
      </c>
    </row>
    <row r="40" spans="2:2" x14ac:dyDescent="0.35">
      <c r="B40" t="s">
        <v>526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QAnalysis">
                <anchor moveWithCells="1">
                  <from>
                    <xdr:col>5</xdr:col>
                    <xdr:colOff>247650</xdr:colOff>
                    <xdr:row>6</xdr:row>
                    <xdr:rowOff>146050</xdr:rowOff>
                  </from>
                  <to>
                    <xdr:col>6</xdr:col>
                    <xdr:colOff>184150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5</xdr:col>
                    <xdr:colOff>438150</xdr:colOff>
                    <xdr:row>4</xdr:row>
                    <xdr:rowOff>107950</xdr:rowOff>
                  </from>
                  <to>
                    <xdr:col>6</xdr:col>
                    <xdr:colOff>374650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QAnalysisTest">
                <anchor moveWithCells="1">
                  <from>
                    <xdr:col>5</xdr:col>
                    <xdr:colOff>323850</xdr:colOff>
                    <xdr:row>9</xdr:row>
                    <xdr:rowOff>88900</xdr:rowOff>
                  </from>
                  <to>
                    <xdr:col>6</xdr:col>
                    <xdr:colOff>260350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4E0A5-6DF4-434A-B2EB-E86D24DC5066}">
  <sheetPr codeName="Sheet4"/>
  <dimension ref="A1:C15"/>
  <sheetViews>
    <sheetView tabSelected="1" workbookViewId="0">
      <selection activeCell="O20" sqref="O20"/>
    </sheetView>
  </sheetViews>
  <sheetFormatPr defaultRowHeight="14.5" x14ac:dyDescent="0.35"/>
  <cols>
    <col min="2" max="2" width="17.1796875" bestFit="1" customWidth="1"/>
    <col min="3" max="3" width="12.453125" bestFit="1" customWidth="1"/>
  </cols>
  <sheetData>
    <row r="1" spans="1:3" x14ac:dyDescent="0.35">
      <c r="A1" t="s">
        <v>525</v>
      </c>
    </row>
    <row r="3" spans="1:3" x14ac:dyDescent="0.35">
      <c r="A3" s="2" t="s">
        <v>0</v>
      </c>
      <c r="B3" s="2" t="s">
        <v>523</v>
      </c>
      <c r="C3" s="2" t="s">
        <v>524</v>
      </c>
    </row>
    <row r="4" spans="1:3" x14ac:dyDescent="0.35">
      <c r="A4" t="s">
        <v>8</v>
      </c>
      <c r="B4" s="3">
        <v>83079900</v>
      </c>
      <c r="C4" s="4">
        <v>-7.2847634553909302E-2</v>
      </c>
    </row>
    <row r="5" spans="1:3" x14ac:dyDescent="0.35">
      <c r="A5" t="s">
        <v>9</v>
      </c>
      <c r="B5" s="3">
        <v>200879900</v>
      </c>
      <c r="C5" s="4">
        <v>-0.16336052119731903</v>
      </c>
    </row>
    <row r="6" spans="1:3" x14ac:dyDescent="0.35">
      <c r="A6" t="s">
        <v>10</v>
      </c>
      <c r="B6" s="3">
        <v>107873900</v>
      </c>
      <c r="C6" s="4">
        <v>-0.62601888179779053</v>
      </c>
    </row>
    <row r="7" spans="1:3" x14ac:dyDescent="0.35">
      <c r="A7" t="s">
        <v>11</v>
      </c>
      <c r="B7" s="3">
        <v>607473500</v>
      </c>
      <c r="C7" s="5">
        <v>0.81923085451126099</v>
      </c>
    </row>
    <row r="8" spans="1:3" x14ac:dyDescent="0.35">
      <c r="A8" t="s">
        <v>12</v>
      </c>
      <c r="B8" s="3">
        <v>478113900</v>
      </c>
      <c r="C8" s="4">
        <v>-0.39713191986083984</v>
      </c>
    </row>
    <row r="9" spans="1:3" x14ac:dyDescent="0.35">
      <c r="A9" t="s">
        <v>13</v>
      </c>
      <c r="B9" s="3">
        <v>104340600</v>
      </c>
      <c r="C9" s="4">
        <v>-0.20658062398433685</v>
      </c>
    </row>
    <row r="10" spans="1:3" x14ac:dyDescent="0.35">
      <c r="A10" t="s">
        <v>14</v>
      </c>
      <c r="B10" s="3">
        <v>158309000</v>
      </c>
      <c r="C10" s="4">
        <v>-0.6053471565246582</v>
      </c>
    </row>
    <row r="11" spans="1:3" x14ac:dyDescent="0.35">
      <c r="A11" t="s">
        <v>15</v>
      </c>
      <c r="B11" s="3">
        <v>502757100</v>
      </c>
      <c r="C11" s="5">
        <v>0.83952707052230835</v>
      </c>
    </row>
    <row r="12" spans="1:3" x14ac:dyDescent="0.35">
      <c r="A12" t="s">
        <v>16</v>
      </c>
      <c r="B12" s="3">
        <v>237212300</v>
      </c>
      <c r="C12" s="4">
        <v>-7.7529586851596832E-2</v>
      </c>
    </row>
    <row r="13" spans="1:3" x14ac:dyDescent="0.35">
      <c r="A13" t="s">
        <v>17</v>
      </c>
      <c r="B13" s="3">
        <v>538024300</v>
      </c>
      <c r="C13" s="4">
        <v>-0.44593092799186707</v>
      </c>
    </row>
    <row r="14" spans="1:3" x14ac:dyDescent="0.35">
      <c r="A14" t="s">
        <v>18</v>
      </c>
      <c r="B14" s="3">
        <v>151434700</v>
      </c>
      <c r="C14" s="4">
        <v>-4.9957673996686935E-2</v>
      </c>
    </row>
    <row r="15" spans="1:3" x14ac:dyDescent="0.3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>
                  <from>
                    <xdr:col>5</xdr:col>
                    <xdr:colOff>6350</xdr:colOff>
                    <xdr:row>13</xdr:row>
                    <xdr:rowOff>146050</xdr:rowOff>
                  </from>
                  <to>
                    <xdr:col>5</xdr:col>
                    <xdr:colOff>603250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AllStocksAnalysis">
                <anchor moveWithCells="1">
                  <from>
                    <xdr:col>5</xdr:col>
                    <xdr:colOff>0</xdr:colOff>
                    <xdr:row>8</xdr:row>
                    <xdr:rowOff>171450</xdr:rowOff>
                  </from>
                  <to>
                    <xdr:col>8</xdr:col>
                    <xdr:colOff>12700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formatAllStocksAnalysisTable">
                <anchor moveWithCells="1">
                  <from>
                    <xdr:col>5</xdr:col>
                    <xdr:colOff>0</xdr:colOff>
                    <xdr:row>11</xdr:row>
                    <xdr:rowOff>146050</xdr:rowOff>
                  </from>
                  <to>
                    <xdr:col>6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AllStocksAnalysisRefactored">
                <anchor moveWithCells="1">
                  <from>
                    <xdr:col>5</xdr:col>
                    <xdr:colOff>6350</xdr:colOff>
                    <xdr:row>6</xdr:row>
                    <xdr:rowOff>6350</xdr:rowOff>
                  </from>
                  <to>
                    <xdr:col>8</xdr:col>
                    <xdr:colOff>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BA085-339C-47A6-92C1-353D0315736C}">
  <sheetPr codeName="Sheet5"/>
  <dimension ref="A1:H33"/>
  <sheetViews>
    <sheetView workbookViewId="0">
      <selection activeCell="J21" sqref="J21"/>
    </sheetView>
  </sheetViews>
  <sheetFormatPr defaultRowHeight="14.5" x14ac:dyDescent="0.35"/>
  <cols>
    <col min="1" max="1" width="10.90625" style="7" bestFit="1" customWidth="1"/>
    <col min="2" max="3" width="9.81640625" bestFit="1" customWidth="1"/>
  </cols>
  <sheetData>
    <row r="1" spans="1:8" x14ac:dyDescent="0.35">
      <c r="A1" s="7" t="s">
        <v>527</v>
      </c>
      <c r="B1" s="9">
        <v>2017</v>
      </c>
      <c r="C1" s="9">
        <v>2018</v>
      </c>
    </row>
    <row r="2" spans="1:8" x14ac:dyDescent="0.35">
      <c r="A2" s="10" t="s">
        <v>528</v>
      </c>
      <c r="B2">
        <v>0.55078130000000003</v>
      </c>
      <c r="C2">
        <v>0.55078130000000003</v>
      </c>
      <c r="G2" t="s">
        <v>533</v>
      </c>
      <c r="H2">
        <f>((B2-B10)/B2)*100</f>
        <v>88.652483299632721</v>
      </c>
    </row>
    <row r="3" spans="1:8" x14ac:dyDescent="0.35">
      <c r="A3" s="10" t="s">
        <v>529</v>
      </c>
      <c r="B3">
        <v>0.56640630000000003</v>
      </c>
      <c r="C3">
        <v>0.56640630000000003</v>
      </c>
      <c r="H3">
        <f>((C2-C10)/C2)*100</f>
        <v>87.234043712086816</v>
      </c>
    </row>
    <row r="4" spans="1:8" x14ac:dyDescent="0.35">
      <c r="A4" s="10" t="s">
        <v>530</v>
      </c>
      <c r="B4">
        <v>0.55078130000000003</v>
      </c>
      <c r="C4">
        <v>0.5546875</v>
      </c>
    </row>
    <row r="5" spans="1:8" x14ac:dyDescent="0.35">
      <c r="A5" s="10" t="s">
        <v>531</v>
      </c>
      <c r="B5">
        <v>0.546875</v>
      </c>
      <c r="C5">
        <v>0.55859380000000003</v>
      </c>
    </row>
    <row r="6" spans="1:8" x14ac:dyDescent="0.35">
      <c r="A6" s="10" t="s">
        <v>532</v>
      </c>
      <c r="B6">
        <v>0.55078130000000003</v>
      </c>
      <c r="C6">
        <v>0.56640630000000003</v>
      </c>
    </row>
    <row r="9" spans="1:8" x14ac:dyDescent="0.35">
      <c r="A9" s="7" t="s">
        <v>534</v>
      </c>
      <c r="B9" s="6">
        <v>2017</v>
      </c>
      <c r="C9" s="6">
        <v>2018</v>
      </c>
    </row>
    <row r="10" spans="1:8" x14ac:dyDescent="0.35">
      <c r="A10" s="8" t="s">
        <v>528</v>
      </c>
      <c r="B10">
        <v>6.25E-2</v>
      </c>
      <c r="C10">
        <v>7.03125E-2</v>
      </c>
    </row>
    <row r="11" spans="1:8" x14ac:dyDescent="0.35">
      <c r="A11" s="8" t="s">
        <v>529</v>
      </c>
      <c r="B11">
        <v>6.25E-2</v>
      </c>
      <c r="C11">
        <v>6.25E-2</v>
      </c>
    </row>
    <row r="12" spans="1:8" x14ac:dyDescent="0.35">
      <c r="A12" s="8" t="s">
        <v>530</v>
      </c>
      <c r="B12">
        <v>6.25E-2</v>
      </c>
      <c r="C12">
        <v>6.25E-2</v>
      </c>
    </row>
    <row r="13" spans="1:8" x14ac:dyDescent="0.35">
      <c r="A13" s="8" t="s">
        <v>531</v>
      </c>
      <c r="B13">
        <v>6.25E-2</v>
      </c>
      <c r="C13">
        <v>6.25E-2</v>
      </c>
    </row>
    <row r="14" spans="1:8" x14ac:dyDescent="0.35">
      <c r="A14" s="8" t="s">
        <v>532</v>
      </c>
      <c r="B14">
        <v>6.25E-2</v>
      </c>
      <c r="C14">
        <v>6.25E-2</v>
      </c>
    </row>
    <row r="17" spans="1:4" x14ac:dyDescent="0.35">
      <c r="A17" s="7">
        <v>2017</v>
      </c>
      <c r="B17" s="13" t="s">
        <v>527</v>
      </c>
      <c r="C17" s="13" t="s">
        <v>534</v>
      </c>
      <c r="D17" s="13" t="s">
        <v>536</v>
      </c>
    </row>
    <row r="18" spans="1:4" x14ac:dyDescent="0.35">
      <c r="A18" s="13" t="s">
        <v>528</v>
      </c>
      <c r="B18">
        <v>0.55078130000000003</v>
      </c>
      <c r="C18">
        <v>6.25E-2</v>
      </c>
      <c r="D18" s="12">
        <f>(((B18-C18)/B18)*100)</f>
        <v>88.652483299632721</v>
      </c>
    </row>
    <row r="19" spans="1:4" x14ac:dyDescent="0.35">
      <c r="A19" s="13" t="s">
        <v>535</v>
      </c>
      <c r="B19">
        <v>0.56640630000000003</v>
      </c>
      <c r="C19">
        <v>6.25E-2</v>
      </c>
      <c r="D19" s="12">
        <f t="shared" ref="D19:D22" si="0">(((B19-C19)/B19)*100)</f>
        <v>88.965518215457706</v>
      </c>
    </row>
    <row r="20" spans="1:4" x14ac:dyDescent="0.35">
      <c r="A20" s="13" t="s">
        <v>530</v>
      </c>
      <c r="B20">
        <v>0.55078130000000003</v>
      </c>
      <c r="C20">
        <v>6.25E-2</v>
      </c>
      <c r="D20" s="12">
        <f t="shared" si="0"/>
        <v>88.652483299632721</v>
      </c>
    </row>
    <row r="21" spans="1:4" x14ac:dyDescent="0.35">
      <c r="A21" s="13" t="s">
        <v>531</v>
      </c>
      <c r="B21">
        <v>0.546875</v>
      </c>
      <c r="C21">
        <v>6.25E-2</v>
      </c>
      <c r="D21" s="12">
        <f t="shared" si="0"/>
        <v>88.571428571428569</v>
      </c>
    </row>
    <row r="22" spans="1:4" x14ac:dyDescent="0.35">
      <c r="A22" s="13" t="s">
        <v>532</v>
      </c>
      <c r="B22">
        <v>0.55078130000000003</v>
      </c>
      <c r="C22">
        <v>6.25E-2</v>
      </c>
      <c r="D22" s="12">
        <f t="shared" si="0"/>
        <v>88.652483299632721</v>
      </c>
    </row>
    <row r="23" spans="1:4" x14ac:dyDescent="0.35">
      <c r="A23" s="13" t="s">
        <v>537</v>
      </c>
      <c r="B23" s="15">
        <f t="shared" ref="B23:C23" si="1">AVERAGE(B18:B22)</f>
        <v>0.55312504000000007</v>
      </c>
      <c r="C23" s="11">
        <f t="shared" si="1"/>
        <v>6.25E-2</v>
      </c>
      <c r="D23" s="12">
        <f>AVERAGE(D18:D22)</f>
        <v>88.698879337156882</v>
      </c>
    </row>
    <row r="27" spans="1:4" x14ac:dyDescent="0.35">
      <c r="A27" s="7">
        <v>2018</v>
      </c>
      <c r="B27" s="14" t="s">
        <v>527</v>
      </c>
      <c r="C27" s="14" t="s">
        <v>534</v>
      </c>
      <c r="D27" s="14" t="s">
        <v>536</v>
      </c>
    </row>
    <row r="28" spans="1:4" x14ac:dyDescent="0.35">
      <c r="A28" s="14" t="s">
        <v>528</v>
      </c>
      <c r="B28">
        <v>0.55078130000000003</v>
      </c>
      <c r="C28">
        <v>7.03125E-2</v>
      </c>
      <c r="D28" s="12">
        <f>(((B28-C28)/B28)*100)</f>
        <v>87.234043712086816</v>
      </c>
    </row>
    <row r="29" spans="1:4" x14ac:dyDescent="0.35">
      <c r="A29" s="14" t="s">
        <v>535</v>
      </c>
      <c r="B29">
        <v>0.56640630000000003</v>
      </c>
      <c r="C29">
        <v>6.25E-2</v>
      </c>
      <c r="D29" s="12">
        <f t="shared" ref="D29:D32" si="2">(((B29-C29)/B29)*100)</f>
        <v>88.965518215457706</v>
      </c>
    </row>
    <row r="30" spans="1:4" x14ac:dyDescent="0.35">
      <c r="A30" s="14" t="s">
        <v>530</v>
      </c>
      <c r="B30">
        <v>0.5546875</v>
      </c>
      <c r="C30">
        <v>6.25E-2</v>
      </c>
      <c r="D30" s="12">
        <f t="shared" si="2"/>
        <v>88.732394366197184</v>
      </c>
    </row>
    <row r="31" spans="1:4" x14ac:dyDescent="0.35">
      <c r="A31" s="14" t="s">
        <v>531</v>
      </c>
      <c r="B31">
        <v>0.55859380000000003</v>
      </c>
      <c r="C31">
        <v>6.25E-2</v>
      </c>
      <c r="D31" s="12">
        <f t="shared" si="2"/>
        <v>88.811189812704697</v>
      </c>
    </row>
    <row r="32" spans="1:4" x14ac:dyDescent="0.35">
      <c r="A32" s="14" t="s">
        <v>532</v>
      </c>
      <c r="B32">
        <v>0.56640630000000003</v>
      </c>
      <c r="C32">
        <v>6.25E-2</v>
      </c>
      <c r="D32" s="12">
        <f t="shared" si="2"/>
        <v>88.965518215457706</v>
      </c>
    </row>
    <row r="33" spans="1:4" x14ac:dyDescent="0.35">
      <c r="A33" s="14" t="s">
        <v>537</v>
      </c>
      <c r="B33" s="15">
        <f t="shared" ref="B33:C33" si="3">AVERAGE(B28:B32)</f>
        <v>0.55937504000000005</v>
      </c>
      <c r="C33" s="11">
        <f>AVERAGE(C28:C32)</f>
        <v>6.4062499999999994E-2</v>
      </c>
      <c r="D33" s="12">
        <f>AVERAGE(D28:D32)</f>
        <v>88.541732864380805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Espinosa-Tello</dc:creator>
  <cp:lastModifiedBy>Jose Espinosa-Tello</cp:lastModifiedBy>
  <dcterms:created xsi:type="dcterms:W3CDTF">2019-05-02T20:23:55Z</dcterms:created>
  <dcterms:modified xsi:type="dcterms:W3CDTF">2022-05-09T03:56:10Z</dcterms:modified>
</cp:coreProperties>
</file>